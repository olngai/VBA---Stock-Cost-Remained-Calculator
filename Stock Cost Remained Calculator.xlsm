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V\a\jijis_ASM Data Analysis internship - 17-5-2022\VBA test\"/>
    </mc:Choice>
  </mc:AlternateContent>
  <xr:revisionPtr revIDLastSave="0" documentId="13_ncr:1_{B7FB2396-93C8-48B3-ADCD-AA6122C4D95A}" xr6:coauthVersionLast="47" xr6:coauthVersionMax="47" xr10:uidLastSave="{00000000-0000-0000-0000-000000000000}"/>
  <bookViews>
    <workbookView xWindow="0" yWindow="264" windowWidth="16200" windowHeight="11880" firstSheet="1" activeTab="6" xr2:uid="{00000000-000D-0000-FFFF-FFFF00000000}"/>
  </bookViews>
  <sheets>
    <sheet name="Task_Data" sheetId="1" r:id="rId1"/>
    <sheet name="Example_Numerical" sheetId="4" r:id="rId2"/>
    <sheet name="Example_Formula" sheetId="5" r:id="rId3"/>
    <sheet name="Cost Remained Calculator" sheetId="6" state="hidden" r:id="rId4"/>
    <sheet name="DataTable" sheetId="7" state="hidden" r:id="rId5"/>
    <sheet name="Output" sheetId="2" r:id="rId6"/>
    <sheet name="Save Table" sheetId="8" r:id="rId7"/>
    <sheet name="Numerical Answer for B" sheetId="3" r:id="rId8"/>
  </sheets>
  <functionGroups builtInGroupCount="19"/>
  <definedNames>
    <definedName name="_xlnm._FilterDatabase" localSheetId="0" hidden="1">Task_Data!$B$9:$E$32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  <c r="A1" i="2"/>
  <c r="E30" i="5"/>
  <c r="G30" i="5" s="1"/>
  <c r="F30" i="5"/>
  <c r="E15" i="4"/>
  <c r="H30" i="5" l="1"/>
  <c r="I30" i="5"/>
  <c r="J30" i="5" s="1"/>
  <c r="K30" i="5" s="1"/>
  <c r="F31" i="5"/>
  <c r="E31" i="5"/>
  <c r="G31" i="5" l="1"/>
  <c r="E32" i="5"/>
  <c r="F32" i="5"/>
  <c r="E33" i="5" l="1"/>
  <c r="F33" i="5"/>
  <c r="G32" i="5"/>
  <c r="H31" i="5"/>
  <c r="I31" i="5"/>
  <c r="J31" i="5" s="1"/>
  <c r="K31" i="5" s="1"/>
  <c r="H32" i="5" l="1"/>
  <c r="I32" i="5"/>
  <c r="J32" i="5" s="1"/>
  <c r="K32" i="5" s="1"/>
  <c r="E34" i="5"/>
  <c r="G34" i="5" s="1"/>
  <c r="F34" i="5"/>
  <c r="G33" i="5"/>
  <c r="I34" i="5" l="1"/>
  <c r="H34" i="5"/>
  <c r="I33" i="5"/>
  <c r="H33" i="5"/>
  <c r="J33" i="5" l="1"/>
  <c r="K33" i="5" s="1"/>
  <c r="J34" i="5" l="1"/>
  <c r="K34" i="5" s="1"/>
</calcChain>
</file>

<file path=xl/sharedStrings.xml><?xml version="1.0" encoding="utf-8"?>
<sst xmlns="http://schemas.openxmlformats.org/spreadsheetml/2006/main" count="184" uniqueCount="90">
  <si>
    <t>Name</t>
  </si>
  <si>
    <t>Date</t>
  </si>
  <si>
    <t>A</t>
  </si>
  <si>
    <t>B</t>
  </si>
  <si>
    <t>C</t>
  </si>
  <si>
    <t>D</t>
  </si>
  <si>
    <t>E</t>
  </si>
  <si>
    <t>F</t>
  </si>
  <si>
    <t>Number of shares sold on that date/Outstanding shares before the shares are sold</t>
  </si>
  <si>
    <t>Shares</t>
  </si>
  <si>
    <t>for Name=</t>
  </si>
  <si>
    <t>on Date=</t>
  </si>
  <si>
    <t>-200/1000</t>
  </si>
  <si>
    <t xml:space="preserve"> OR</t>
  </si>
  <si>
    <t>Pct Sold=</t>
  </si>
  <si>
    <t>Pct Sold on a particular date=</t>
  </si>
  <si>
    <t>Example 1:</t>
  </si>
  <si>
    <t>Example 2:</t>
  </si>
  <si>
    <t>-400/1100</t>
  </si>
  <si>
    <t>Remaining Cost on a date=</t>
  </si>
  <si>
    <t>Percentage of Shares Sold (Pct Sold)</t>
  </si>
  <si>
    <t>Remaining Cost BEFORE that date-(Cost Purchase on that date-Cost Sold on that date)</t>
  </si>
  <si>
    <t>Example 3:</t>
  </si>
  <si>
    <t>Cost Sold on a date=</t>
  </si>
  <si>
    <t>Pct Soldx Remaining Cost on a date, whereas</t>
  </si>
  <si>
    <t>Price</t>
  </si>
  <si>
    <t>Remaining Cost before 1/31/2011=10,000</t>
  </si>
  <si>
    <t>Cost Sold on 1/31/2011=-20%x10,000=-2,000</t>
  </si>
  <si>
    <t>Remaining Cost on 1/31/2011=10,000-2,000=8,000</t>
  </si>
  <si>
    <t>Remaining Cost before 2/20/2011=8,000</t>
  </si>
  <si>
    <t>Cost Purchase on 2/20/2011=2,940</t>
  </si>
  <si>
    <t>Remaining Cost on 2/20/2011=8,000+2,940=10,940</t>
  </si>
  <si>
    <t>Remaining Cost before 4/6/2011=10,940</t>
  </si>
  <si>
    <t>Cost Sold on 4/6/2011=-36.4%x10,940=-3,978.2</t>
  </si>
  <si>
    <t>Remaining Cost on 4/6/2011=6961.8</t>
  </si>
  <si>
    <t>Given Dates</t>
  </si>
  <si>
    <t>Date1=</t>
  </si>
  <si>
    <t>Date2=</t>
  </si>
  <si>
    <t>Write all names under "Name" column on the "Output" sheet under "Name"</t>
  </si>
  <si>
    <t>Write Date1 and Date 2 into on to the "Output" sheet in the given cells (Refer to Output Sheet)</t>
  </si>
  <si>
    <t>Please write clear explanations throughout your code</t>
  </si>
  <si>
    <t>Erase the table on the "Output" sheet</t>
  </si>
  <si>
    <t>A.</t>
  </si>
  <si>
    <t>B.</t>
  </si>
  <si>
    <t>Please check your output against the expected answers in the "Nuermical Answer" tab</t>
  </si>
  <si>
    <t>C.</t>
  </si>
  <si>
    <t>USD Value of an Investments (for applicants of VBA/Access programmer)</t>
  </si>
  <si>
    <t xml:space="preserve">Each stock is corresponding to a currency in the BookData.xls file. </t>
  </si>
  <si>
    <t>The stock prices of each of the investments at Date1 and Date2 are also provided</t>
  </si>
  <si>
    <t>Design another program to write the USD value of each stock in a table on the output sheet</t>
  </si>
  <si>
    <t>in similar format as that in the output sheet</t>
  </si>
  <si>
    <t>Cost Remained on a given date</t>
  </si>
  <si>
    <t>(Refer to the below examples for the definition of "Cost Remained")</t>
  </si>
  <si>
    <t>Cost Accounting based on Average Cost Method (For both Long and Short trades)</t>
  </si>
  <si>
    <t>Numerical Examples (Long Stocks)</t>
  </si>
  <si>
    <t>Shs</t>
  </si>
  <si>
    <t>Hldg</t>
  </si>
  <si>
    <t>HldgP</t>
  </si>
  <si>
    <t>LongSh</t>
  </si>
  <si>
    <t>ShrsBuySh</t>
  </si>
  <si>
    <t>ShrsSellCv</t>
  </si>
  <si>
    <t>rc</t>
  </si>
  <si>
    <t>rc ps</t>
  </si>
  <si>
    <t>(This sheet contains the tasks you are to complete)</t>
  </si>
  <si>
    <t>Data</t>
  </si>
  <si>
    <t>Cost based on Average Cost Accounting</t>
  </si>
  <si>
    <t xml:space="preserve">Task: </t>
  </si>
  <si>
    <t>Design a program to</t>
  </si>
  <si>
    <t>Formula/Numerical illustration (covering the calculation of both Long &amp; Short transactions)</t>
  </si>
  <si>
    <t>Understand the examples in "Example_Formula" for Long trade</t>
  </si>
  <si>
    <t>Your program should also work for Short selling/covering.  You may refer to "Example_Formula"</t>
  </si>
  <si>
    <t>(The program is expected to be able to run on unknown number of dates and names)</t>
  </si>
  <si>
    <t>=min(if(hldg&lt;0,0,1),if(hldgP&lt;0,0,1))</t>
    <phoneticPr fontId="2" type="noConversion"/>
  </si>
  <si>
    <t>rc</t>
    <phoneticPr fontId="2" type="noConversion"/>
  </si>
  <si>
    <t>rcP</t>
    <phoneticPr fontId="2" type="noConversion"/>
  </si>
  <si>
    <t>HldgP</t>
    <phoneticPr fontId="2" type="noConversion"/>
  </si>
  <si>
    <t>shrsSellCv</t>
    <phoneticPr fontId="2" type="noConversion"/>
  </si>
  <si>
    <t>Longsh</t>
    <phoneticPr fontId="2" type="noConversion"/>
  </si>
  <si>
    <t>=if(Long,1,0)</t>
    <phoneticPr fontId="2" type="noConversion"/>
  </si>
  <si>
    <t>=(sum(HldgP,shrsSellCv)/(if(HldgP =0,1,HldgP)) * rcp +shrsBuySh *Price</t>
    <phoneticPr fontId="2" type="noConversion"/>
  </si>
  <si>
    <t>=Longsh*min(0,shrs)+(1-Longsh)*max(0,shrs)</t>
    <phoneticPr fontId="2" type="noConversion"/>
  </si>
  <si>
    <t>=Longsh*max(0,shrs)+(1-Longsh)*min(0,shrs)</t>
    <phoneticPr fontId="2" type="noConversion"/>
  </si>
  <si>
    <t>shrsBuySh</t>
    <phoneticPr fontId="2" type="noConversion"/>
  </si>
  <si>
    <t>Average Cost(Long Buy/Sell + Short Selling/Covering)</t>
    <phoneticPr fontId="2" type="noConversion"/>
  </si>
  <si>
    <t>to understand the calculation based on Average Cost Accounting</t>
    <phoneticPr fontId="2" type="noConversion"/>
  </si>
  <si>
    <t>Write the "Cost Remained" up to Date1 and Date2 in the table created in the above steps</t>
    <phoneticPr fontId="2" type="noConversion"/>
  </si>
  <si>
    <t>Task C</t>
  </si>
  <si>
    <t>Convert to USD</t>
  </si>
  <si>
    <t>Task B</t>
  </si>
  <si>
    <t>Cost Remained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</si>
</sst>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76" formatCode="0.000"/>
    <numFmt numFmtId="177" formatCode="0.0%"/>
    <numFmt numFmtId="178" formatCode="_(* #,##0.0_);_(* \(#,##0.0\);_(* &quot;-&quot;?_);_(@_)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6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9"/>
      <name val="細明體"/>
      <family val="3"/>
      <charset val="136"/>
    </font>
    <font>
      <sz val="10"/>
      <color rgb="FF000000"/>
      <name val="Abadi"/>
      <family val="2"/>
    </font>
    <font>
      <sz val="10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14" fontId="2" fillId="0" borderId="0" xfId="0" applyNumberFormat="1" applyFont="1" applyBorder="1"/>
    <xf numFmtId="0" fontId="2" fillId="0" borderId="0" xfId="0" quotePrefix="1" applyFont="1" applyBorder="1"/>
    <xf numFmtId="0" fontId="2" fillId="0" borderId="0" xfId="0" applyFont="1" applyBorder="1" applyAlignment="1">
      <alignment horizontal="center"/>
    </xf>
    <xf numFmtId="177" fontId="2" fillId="0" borderId="0" xfId="2" applyNumberFormat="1" applyFont="1" applyBorder="1"/>
    <xf numFmtId="177" fontId="2" fillId="0" borderId="0" xfId="0" applyNumberFormat="1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7" xfId="0" quotePrefix="1" applyFont="1" applyBorder="1"/>
    <xf numFmtId="0" fontId="2" fillId="0" borderId="7" xfId="0" applyFont="1" applyBorder="1" applyAlignment="1">
      <alignment horizontal="center"/>
    </xf>
    <xf numFmtId="177" fontId="2" fillId="0" borderId="7" xfId="2" applyNumberFormat="1" applyFont="1" applyBorder="1"/>
    <xf numFmtId="0" fontId="2" fillId="0" borderId="8" xfId="0" applyFont="1" applyBorder="1"/>
    <xf numFmtId="14" fontId="2" fillId="0" borderId="0" xfId="0" applyNumberFormat="1" applyFont="1"/>
    <xf numFmtId="176" fontId="2" fillId="0" borderId="0" xfId="0" applyNumberFormat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9" fontId="0" fillId="0" borderId="0" xfId="0" applyNumberFormat="1"/>
    <xf numFmtId="43" fontId="0" fillId="0" borderId="0" xfId="1" applyFont="1"/>
    <xf numFmtId="43" fontId="0" fillId="0" borderId="0" xfId="0" applyNumberFormat="1"/>
    <xf numFmtId="178" fontId="0" fillId="0" borderId="0" xfId="0" applyNumberFormat="1"/>
    <xf numFmtId="43" fontId="1" fillId="0" borderId="0" xfId="1" applyNumberFormat="1"/>
    <xf numFmtId="0" fontId="6" fillId="0" borderId="0" xfId="0" applyFont="1"/>
    <xf numFmtId="14" fontId="7" fillId="0" borderId="0" xfId="0" applyNumberFormat="1" applyFont="1"/>
    <xf numFmtId="0" fontId="7" fillId="0" borderId="0" xfId="0" applyFont="1"/>
    <xf numFmtId="0" fontId="6" fillId="0" borderId="0" xfId="0" quotePrefix="1" applyFont="1"/>
    <xf numFmtId="14" fontId="3" fillId="0" borderId="0" xfId="0" applyNumberFormat="1" applyFont="1"/>
    <xf numFmtId="0" fontId="3" fillId="0" borderId="0" xfId="0" applyFont="1" applyAlignment="1"/>
    <xf numFmtId="4" fontId="0" fillId="0" borderId="0" xfId="0" applyNumberFormat="1"/>
    <xf numFmtId="0" fontId="1" fillId="0" borderId="0" xfId="0" applyFont="1"/>
    <xf numFmtId="0" fontId="10" fillId="0" borderId="0" xfId="0" applyFont="1"/>
  </cellXfs>
  <cellStyles count="3">
    <cellStyle name="一般" xfId="0" builtinId="0"/>
    <cellStyle name="千分位" xfId="1" builtinId="3"/>
    <cellStyle name="百分比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327660</xdr:colOff>
          <xdr:row>3</xdr:row>
          <xdr:rowOff>38100</xdr:rowOff>
        </xdr:from>
        <xdr:to>
          <xdr:col>7</xdr:col>
          <xdr:colOff>365760</xdr:colOff>
          <xdr:row>24</xdr:row>
          <xdr:rowOff>99060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251460</xdr:colOff>
          <xdr:row>6</xdr:row>
          <xdr:rowOff>91440</xdr:rowOff>
        </xdr:from>
        <xdr:to>
          <xdr:col>7</xdr:col>
          <xdr:colOff>563880</xdr:colOff>
          <xdr:row>8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badi"/>
                </a:rPr>
                <a:t>Cost Remained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3</xdr:row>
          <xdr:rowOff>91440</xdr:rowOff>
        </xdr:from>
        <xdr:to>
          <xdr:col>7</xdr:col>
          <xdr:colOff>579120</xdr:colOff>
          <xdr:row>5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bad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243840</xdr:colOff>
          <xdr:row>15</xdr:row>
          <xdr:rowOff>83820</xdr:rowOff>
        </xdr:from>
        <xdr:to>
          <xdr:col>7</xdr:col>
          <xdr:colOff>556260</xdr:colOff>
          <xdr:row>17</xdr:row>
          <xdr:rowOff>144780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bad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251460</xdr:colOff>
          <xdr:row>9</xdr:row>
          <xdr:rowOff>121920</xdr:rowOff>
        </xdr:from>
        <xdr:to>
          <xdr:col>7</xdr:col>
          <xdr:colOff>563880</xdr:colOff>
          <xdr:row>12</xdr:row>
          <xdr:rowOff>15240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badi"/>
                </a:rPr>
                <a:t>Convert to USD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243840</xdr:colOff>
          <xdr:row>12</xdr:row>
          <xdr:rowOff>121920</xdr:rowOff>
        </xdr:from>
        <xdr:to>
          <xdr:col>7</xdr:col>
          <xdr:colOff>556260</xdr:colOff>
          <xdr:row>15</xdr:row>
          <xdr:rowOff>15240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badi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fitToPage="1"/>
  </sheetPr>
  <dimension ref="A1:R71"/>
  <sheetViews>
    <sheetView topLeftCell="A34" zoomScale="130" zoomScaleNormal="130" zoomScaleSheetLayoutView="100" workbookViewId="0">
      <selection activeCell="B44" sqref="B44"/>
    </sheetView>
  </sheetViews>
  <sheetFormatPr defaultRowHeight="13.2" x14ac:dyDescent="0.25"/>
  <cols>
    <col min="1" max="1" width="2.6640625" customWidth="1"/>
    <col min="2" max="2" width="10.109375" bestFit="1" customWidth="1"/>
    <col min="3" max="3" width="10.44140625" bestFit="1" customWidth="1"/>
    <col min="4" max="5" width="9.33203125" bestFit="1" customWidth="1"/>
    <col min="10" max="10" width="8" customWidth="1"/>
    <col min="11" max="11" width="9.33203125" style="2" bestFit="1" customWidth="1"/>
    <col min="12" max="12" width="9.109375" style="2" customWidth="1"/>
    <col min="13" max="13" width="9.33203125" style="2" bestFit="1" customWidth="1"/>
    <col min="14" max="15" width="9.109375" style="2" customWidth="1"/>
    <col min="16" max="16" width="13.44140625" style="2" customWidth="1"/>
    <col min="17" max="17" width="4.88671875" style="2" customWidth="1"/>
    <col min="18" max="18" width="9.109375" style="2" customWidth="1"/>
  </cols>
  <sheetData>
    <row r="1" spans="1:8" x14ac:dyDescent="0.25">
      <c r="A1" s="35" t="s">
        <v>53</v>
      </c>
      <c r="H1" s="22" t="s">
        <v>42</v>
      </c>
    </row>
    <row r="2" spans="1:8" x14ac:dyDescent="0.25">
      <c r="A2" s="22" t="s">
        <v>63</v>
      </c>
      <c r="H2" s="22"/>
    </row>
    <row r="3" spans="1:8" x14ac:dyDescent="0.25">
      <c r="A3" t="str">
        <f ca="1">CELL("filename")</f>
        <v>C:\CV\a\jijis_ASM Data Analysis internship - 17-5-2022\VBA test\[Stock Cost Remained Calculator.xlsm]Save Table</v>
      </c>
    </row>
    <row r="4" spans="1:8" x14ac:dyDescent="0.25">
      <c r="A4" s="22" t="s">
        <v>42</v>
      </c>
      <c r="B4" s="22" t="s">
        <v>64</v>
      </c>
      <c r="H4" s="22"/>
    </row>
    <row r="5" spans="1:8" x14ac:dyDescent="0.25">
      <c r="B5" t="s">
        <v>35</v>
      </c>
    </row>
    <row r="6" spans="1:8" x14ac:dyDescent="0.25">
      <c r="B6" t="s">
        <v>36</v>
      </c>
      <c r="C6" s="1">
        <v>40633</v>
      </c>
    </row>
    <row r="7" spans="1:8" x14ac:dyDescent="0.25">
      <c r="B7" t="s">
        <v>37</v>
      </c>
      <c r="C7" s="1">
        <v>40724</v>
      </c>
    </row>
    <row r="8" spans="1:8" x14ac:dyDescent="0.25">
      <c r="C8" s="1"/>
    </row>
    <row r="9" spans="1:8" x14ac:dyDescent="0.25">
      <c r="B9" t="s">
        <v>1</v>
      </c>
      <c r="C9" t="s">
        <v>0</v>
      </c>
      <c r="D9" t="s">
        <v>9</v>
      </c>
      <c r="E9" t="s">
        <v>25</v>
      </c>
    </row>
    <row r="10" spans="1:8" x14ac:dyDescent="0.25">
      <c r="B10" s="1">
        <v>40543</v>
      </c>
      <c r="C10" t="s">
        <v>2</v>
      </c>
      <c r="D10">
        <v>1000</v>
      </c>
      <c r="E10">
        <v>10</v>
      </c>
    </row>
    <row r="11" spans="1:8" x14ac:dyDescent="0.25">
      <c r="B11" s="1">
        <v>40543</v>
      </c>
      <c r="C11" t="s">
        <v>3</v>
      </c>
      <c r="D11">
        <v>-1000</v>
      </c>
      <c r="E11">
        <v>9</v>
      </c>
    </row>
    <row r="12" spans="1:8" x14ac:dyDescent="0.25">
      <c r="B12" s="1">
        <v>40543</v>
      </c>
      <c r="C12" t="s">
        <v>4</v>
      </c>
      <c r="D12">
        <v>1000</v>
      </c>
      <c r="E12">
        <v>10</v>
      </c>
    </row>
    <row r="13" spans="1:8" x14ac:dyDescent="0.25">
      <c r="B13" s="1">
        <v>40543</v>
      </c>
      <c r="C13" t="s">
        <v>5</v>
      </c>
      <c r="D13">
        <v>3000</v>
      </c>
      <c r="E13">
        <v>6</v>
      </c>
    </row>
    <row r="14" spans="1:8" x14ac:dyDescent="0.25">
      <c r="B14" s="1">
        <v>40546</v>
      </c>
      <c r="C14" t="s">
        <v>2</v>
      </c>
      <c r="D14">
        <v>-200</v>
      </c>
      <c r="E14">
        <v>11</v>
      </c>
    </row>
    <row r="15" spans="1:8" x14ac:dyDescent="0.25">
      <c r="B15" s="1">
        <v>40548</v>
      </c>
      <c r="C15" t="s">
        <v>3</v>
      </c>
      <c r="D15">
        <v>500</v>
      </c>
      <c r="E15">
        <v>8.9</v>
      </c>
    </row>
    <row r="16" spans="1:8" x14ac:dyDescent="0.25">
      <c r="B16" s="1">
        <v>40562</v>
      </c>
      <c r="C16" t="s">
        <v>4</v>
      </c>
      <c r="D16">
        <v>1000</v>
      </c>
      <c r="E16">
        <v>9.75</v>
      </c>
    </row>
    <row r="17" spans="2:5" x14ac:dyDescent="0.25">
      <c r="B17" s="1">
        <v>40571</v>
      </c>
      <c r="C17" t="s">
        <v>5</v>
      </c>
      <c r="D17">
        <v>5000</v>
      </c>
      <c r="E17">
        <v>5.9</v>
      </c>
    </row>
    <row r="18" spans="2:5" x14ac:dyDescent="0.25">
      <c r="B18" s="1">
        <v>40594</v>
      </c>
      <c r="C18" t="s">
        <v>2</v>
      </c>
      <c r="D18">
        <v>300</v>
      </c>
      <c r="E18">
        <v>9.8000000000000007</v>
      </c>
    </row>
    <row r="19" spans="2:5" x14ac:dyDescent="0.25">
      <c r="B19" s="1">
        <v>40605</v>
      </c>
      <c r="C19" t="s">
        <v>4</v>
      </c>
      <c r="D19">
        <v>1000</v>
      </c>
      <c r="E19">
        <v>9.5</v>
      </c>
    </row>
    <row r="20" spans="2:5" x14ac:dyDescent="0.25">
      <c r="B20" s="1">
        <v>40617</v>
      </c>
      <c r="C20" t="s">
        <v>5</v>
      </c>
      <c r="D20">
        <v>1000</v>
      </c>
      <c r="E20">
        <v>5.8</v>
      </c>
    </row>
    <row r="21" spans="2:5" x14ac:dyDescent="0.25">
      <c r="B21" s="1">
        <v>40639</v>
      </c>
      <c r="C21" t="s">
        <v>2</v>
      </c>
      <c r="D21">
        <v>-400</v>
      </c>
      <c r="E21">
        <v>10.5</v>
      </c>
    </row>
    <row r="22" spans="2:5" x14ac:dyDescent="0.25">
      <c r="B22" s="1">
        <v>40641</v>
      </c>
      <c r="C22" t="s">
        <v>4</v>
      </c>
      <c r="D22">
        <v>-1000</v>
      </c>
      <c r="E22">
        <v>9.9</v>
      </c>
    </row>
    <row r="23" spans="2:5" x14ac:dyDescent="0.25">
      <c r="B23" s="1">
        <v>40643</v>
      </c>
      <c r="C23" t="s">
        <v>5</v>
      </c>
      <c r="D23">
        <v>-2000</v>
      </c>
      <c r="E23">
        <v>6.5</v>
      </c>
    </row>
    <row r="24" spans="2:5" x14ac:dyDescent="0.25">
      <c r="B24" s="1">
        <v>40663</v>
      </c>
      <c r="C24" t="s">
        <v>3</v>
      </c>
      <c r="D24">
        <v>-250</v>
      </c>
      <c r="E24">
        <v>8.8000000000000007</v>
      </c>
    </row>
    <row r="25" spans="2:5" x14ac:dyDescent="0.25">
      <c r="B25" s="1">
        <v>40668</v>
      </c>
      <c r="C25" t="s">
        <v>2</v>
      </c>
      <c r="D25">
        <v>500</v>
      </c>
      <c r="E25">
        <v>9.5</v>
      </c>
    </row>
    <row r="26" spans="2:5" x14ac:dyDescent="0.25">
      <c r="B26" s="1">
        <v>40669</v>
      </c>
      <c r="C26" t="s">
        <v>3</v>
      </c>
      <c r="D26">
        <v>750</v>
      </c>
      <c r="E26">
        <v>9.5</v>
      </c>
    </row>
    <row r="27" spans="2:5" x14ac:dyDescent="0.25">
      <c r="B27" s="1">
        <v>40681</v>
      </c>
      <c r="C27" t="s">
        <v>4</v>
      </c>
      <c r="D27">
        <v>-1000</v>
      </c>
      <c r="E27">
        <v>10</v>
      </c>
    </row>
    <row r="28" spans="2:5" x14ac:dyDescent="0.25">
      <c r="B28" s="1">
        <v>40683</v>
      </c>
      <c r="C28" t="s">
        <v>6</v>
      </c>
      <c r="D28">
        <v>1000</v>
      </c>
      <c r="E28">
        <v>5.5</v>
      </c>
    </row>
    <row r="29" spans="2:5" x14ac:dyDescent="0.25">
      <c r="B29" s="1">
        <v>40694</v>
      </c>
      <c r="C29" t="s">
        <v>3</v>
      </c>
      <c r="D29">
        <v>-300</v>
      </c>
      <c r="E29">
        <v>9.9</v>
      </c>
    </row>
    <row r="30" spans="2:5" x14ac:dyDescent="0.25">
      <c r="B30" s="1">
        <v>40695</v>
      </c>
      <c r="C30" t="s">
        <v>7</v>
      </c>
      <c r="D30">
        <v>2000</v>
      </c>
      <c r="E30">
        <v>10</v>
      </c>
    </row>
    <row r="31" spans="2:5" x14ac:dyDescent="0.25">
      <c r="B31" s="1">
        <v>40722</v>
      </c>
      <c r="C31" t="s">
        <v>7</v>
      </c>
      <c r="D31">
        <v>300</v>
      </c>
      <c r="E31">
        <v>9.4</v>
      </c>
    </row>
    <row r="32" spans="2:5" x14ac:dyDescent="0.25">
      <c r="B32" s="1">
        <v>40724</v>
      </c>
      <c r="C32" t="s">
        <v>5</v>
      </c>
      <c r="D32">
        <v>-7000</v>
      </c>
      <c r="E32">
        <v>6</v>
      </c>
    </row>
    <row r="33" spans="1:3" x14ac:dyDescent="0.25">
      <c r="B33" s="1"/>
      <c r="C33" s="30"/>
    </row>
    <row r="35" spans="1:3" x14ac:dyDescent="0.25">
      <c r="A35" s="22" t="s">
        <v>43</v>
      </c>
      <c r="B35" s="23" t="s">
        <v>66</v>
      </c>
    </row>
    <row r="36" spans="1:3" x14ac:dyDescent="0.25">
      <c r="A36">
        <v>1</v>
      </c>
      <c r="B36" s="30" t="s">
        <v>69</v>
      </c>
    </row>
    <row r="37" spans="1:3" x14ac:dyDescent="0.25">
      <c r="B37" s="30" t="s">
        <v>84</v>
      </c>
    </row>
    <row r="38" spans="1:3" x14ac:dyDescent="0.25">
      <c r="B38" s="22" t="s">
        <v>67</v>
      </c>
    </row>
    <row r="39" spans="1:3" x14ac:dyDescent="0.25">
      <c r="A39">
        <v>2</v>
      </c>
      <c r="B39" t="s">
        <v>41</v>
      </c>
    </row>
    <row r="40" spans="1:3" x14ac:dyDescent="0.25">
      <c r="A40">
        <v>3</v>
      </c>
      <c r="B40" t="s">
        <v>38</v>
      </c>
    </row>
    <row r="41" spans="1:3" x14ac:dyDescent="0.25">
      <c r="A41">
        <v>4</v>
      </c>
      <c r="B41" t="s">
        <v>39</v>
      </c>
    </row>
    <row r="42" spans="1:3" x14ac:dyDescent="0.25">
      <c r="A42">
        <v>5</v>
      </c>
      <c r="B42" s="37" t="s">
        <v>85</v>
      </c>
    </row>
    <row r="43" spans="1:3" x14ac:dyDescent="0.25">
      <c r="B43" t="s">
        <v>52</v>
      </c>
    </row>
    <row r="44" spans="1:3" x14ac:dyDescent="0.25">
      <c r="B44" t="s">
        <v>70</v>
      </c>
    </row>
    <row r="45" spans="1:3" x14ac:dyDescent="0.25">
      <c r="B45" t="s">
        <v>40</v>
      </c>
    </row>
    <row r="46" spans="1:3" x14ac:dyDescent="0.25">
      <c r="B46" t="s">
        <v>44</v>
      </c>
    </row>
    <row r="48" spans="1:3" x14ac:dyDescent="0.25">
      <c r="B48" t="s">
        <v>71</v>
      </c>
    </row>
    <row r="50" spans="1:2" x14ac:dyDescent="0.25">
      <c r="A50" s="22" t="s">
        <v>45</v>
      </c>
      <c r="B50" s="22" t="s">
        <v>46</v>
      </c>
    </row>
    <row r="51" spans="1:2" x14ac:dyDescent="0.25">
      <c r="B51" t="s">
        <v>47</v>
      </c>
    </row>
    <row r="52" spans="1:2" x14ac:dyDescent="0.25">
      <c r="B52" t="s">
        <v>48</v>
      </c>
    </row>
    <row r="53" spans="1:2" x14ac:dyDescent="0.25">
      <c r="A53">
        <v>1</v>
      </c>
      <c r="B53" t="s">
        <v>49</v>
      </c>
    </row>
    <row r="54" spans="1:2" x14ac:dyDescent="0.25">
      <c r="B54" t="s">
        <v>50</v>
      </c>
    </row>
    <row r="71" spans="13:13" x14ac:dyDescent="0.25">
      <c r="M71" s="21"/>
    </row>
  </sheetData>
  <autoFilter ref="B9:E32" xr:uid="{00000000-0009-0000-0000-000000000000}"/>
  <phoneticPr fontId="2" type="noConversion"/>
  <pageMargins left="0.25" right="0.25" top="0.5" bottom="0.5" header="0.5" footer="0.5"/>
  <pageSetup scale="8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H37"/>
  <sheetViews>
    <sheetView workbookViewId="0">
      <selection activeCell="C18" sqref="C18"/>
    </sheetView>
  </sheetViews>
  <sheetFormatPr defaultRowHeight="13.2" x14ac:dyDescent="0.25"/>
  <sheetData>
    <row r="1" spans="1:8" x14ac:dyDescent="0.25">
      <c r="A1" s="22" t="s">
        <v>65</v>
      </c>
    </row>
    <row r="3" spans="1:8" x14ac:dyDescent="0.25">
      <c r="A3" s="30" t="s">
        <v>54</v>
      </c>
      <c r="C3" s="2"/>
      <c r="D3" s="2"/>
      <c r="E3" s="2"/>
      <c r="F3" s="2"/>
      <c r="G3" s="2"/>
      <c r="H3" s="2"/>
    </row>
    <row r="4" spans="1:8" x14ac:dyDescent="0.25">
      <c r="A4" s="3" t="s">
        <v>20</v>
      </c>
      <c r="B4" s="4"/>
      <c r="C4" s="4"/>
      <c r="D4" s="4"/>
      <c r="E4" s="4"/>
      <c r="F4" s="4"/>
      <c r="G4" s="4"/>
      <c r="H4" s="5"/>
    </row>
    <row r="5" spans="1:8" x14ac:dyDescent="0.25">
      <c r="A5" s="6"/>
      <c r="B5" s="7" t="s">
        <v>15</v>
      </c>
      <c r="C5" s="7"/>
      <c r="D5" s="7"/>
      <c r="E5" s="7"/>
      <c r="F5" s="7"/>
      <c r="G5" s="7"/>
      <c r="H5" s="8"/>
    </row>
    <row r="6" spans="1:8" x14ac:dyDescent="0.25">
      <c r="A6" s="6"/>
      <c r="B6" s="7" t="s">
        <v>8</v>
      </c>
      <c r="C6" s="7"/>
      <c r="D6" s="7"/>
      <c r="E6" s="7"/>
      <c r="F6" s="7"/>
      <c r="G6" s="7"/>
      <c r="H6" s="8"/>
    </row>
    <row r="7" spans="1:8" x14ac:dyDescent="0.25">
      <c r="A7" s="6" t="s">
        <v>16</v>
      </c>
      <c r="B7" s="7"/>
      <c r="C7" s="7"/>
      <c r="D7" s="7"/>
      <c r="E7" s="7"/>
      <c r="F7" s="7"/>
      <c r="G7" s="7"/>
      <c r="H7" s="8"/>
    </row>
    <row r="8" spans="1:8" x14ac:dyDescent="0.25">
      <c r="A8" s="6"/>
      <c r="B8" s="7" t="s">
        <v>10</v>
      </c>
      <c r="C8" s="7" t="s">
        <v>2</v>
      </c>
      <c r="D8" s="7"/>
      <c r="E8" s="7"/>
      <c r="F8" s="7"/>
      <c r="G8" s="7"/>
      <c r="H8" s="8"/>
    </row>
    <row r="9" spans="1:8" x14ac:dyDescent="0.25">
      <c r="A9" s="6"/>
      <c r="B9" s="7" t="s">
        <v>11</v>
      </c>
      <c r="C9" s="9">
        <v>40574</v>
      </c>
      <c r="D9" s="7"/>
      <c r="E9" s="7"/>
      <c r="F9" s="7"/>
      <c r="G9" s="7"/>
      <c r="H9" s="8"/>
    </row>
    <row r="10" spans="1:8" x14ac:dyDescent="0.25">
      <c r="A10" s="6"/>
      <c r="B10" s="7" t="s">
        <v>14</v>
      </c>
      <c r="C10" s="10" t="s">
        <v>12</v>
      </c>
      <c r="D10" s="11" t="s">
        <v>13</v>
      </c>
      <c r="E10" s="12">
        <v>-0.2</v>
      </c>
      <c r="F10" s="7"/>
      <c r="G10" s="7"/>
      <c r="H10" s="8"/>
    </row>
    <row r="11" spans="1:8" x14ac:dyDescent="0.25">
      <c r="A11" s="6"/>
      <c r="B11" s="7"/>
      <c r="C11" s="7"/>
      <c r="D11" s="7"/>
      <c r="E11" s="13"/>
      <c r="F11" s="7"/>
      <c r="G11" s="7"/>
      <c r="H11" s="8"/>
    </row>
    <row r="12" spans="1:8" x14ac:dyDescent="0.25">
      <c r="A12" s="6" t="s">
        <v>17</v>
      </c>
      <c r="B12" s="7"/>
      <c r="C12" s="7"/>
      <c r="D12" s="7"/>
      <c r="E12" s="13"/>
      <c r="F12" s="7"/>
      <c r="G12" s="7"/>
      <c r="H12" s="8"/>
    </row>
    <row r="13" spans="1:8" x14ac:dyDescent="0.25">
      <c r="A13" s="6"/>
      <c r="B13" s="7" t="s">
        <v>10</v>
      </c>
      <c r="C13" s="7" t="s">
        <v>2</v>
      </c>
      <c r="D13" s="7"/>
      <c r="E13" s="13"/>
      <c r="F13" s="7"/>
      <c r="G13" s="7"/>
      <c r="H13" s="8"/>
    </row>
    <row r="14" spans="1:8" x14ac:dyDescent="0.25">
      <c r="A14" s="6"/>
      <c r="B14" s="7" t="s">
        <v>11</v>
      </c>
      <c r="C14" s="9">
        <v>40639</v>
      </c>
      <c r="D14" s="7"/>
      <c r="E14" s="13"/>
      <c r="F14" s="7"/>
      <c r="G14" s="7"/>
      <c r="H14" s="8"/>
    </row>
    <row r="15" spans="1:8" x14ac:dyDescent="0.25">
      <c r="A15" s="14"/>
      <c r="B15" s="15" t="s">
        <v>14</v>
      </c>
      <c r="C15" s="16" t="s">
        <v>18</v>
      </c>
      <c r="D15" s="17" t="s">
        <v>13</v>
      </c>
      <c r="E15" s="18">
        <f>-400/1100</f>
        <v>-0.36363636363636365</v>
      </c>
      <c r="F15" s="15"/>
      <c r="G15" s="15"/>
      <c r="H15" s="19"/>
    </row>
    <row r="16" spans="1:8" x14ac:dyDescent="0.25">
      <c r="A16" s="2"/>
      <c r="B16" s="2"/>
      <c r="C16" s="2"/>
      <c r="D16" s="2"/>
      <c r="E16" s="2"/>
      <c r="F16" s="2"/>
      <c r="G16" s="2"/>
      <c r="H16" s="2"/>
    </row>
    <row r="17" spans="1:8" x14ac:dyDescent="0.25">
      <c r="A17" s="3" t="s">
        <v>23</v>
      </c>
      <c r="B17" s="4"/>
      <c r="C17" s="4" t="s">
        <v>24</v>
      </c>
      <c r="D17" s="4"/>
      <c r="E17" s="4"/>
      <c r="F17" s="4"/>
      <c r="G17" s="4"/>
      <c r="H17" s="5"/>
    </row>
    <row r="18" spans="1:8" x14ac:dyDescent="0.25">
      <c r="A18" s="6" t="s">
        <v>19</v>
      </c>
      <c r="B18" s="7"/>
      <c r="C18" s="7"/>
      <c r="D18" s="7"/>
      <c r="E18" s="7"/>
      <c r="F18" s="7"/>
      <c r="G18" s="7"/>
      <c r="H18" s="8"/>
    </row>
    <row r="19" spans="1:8" x14ac:dyDescent="0.25">
      <c r="A19" s="7" t="s">
        <v>21</v>
      </c>
      <c r="B19" s="7"/>
      <c r="D19" s="7"/>
      <c r="E19" s="7"/>
      <c r="F19" s="7"/>
      <c r="G19" s="7"/>
      <c r="H19" s="8"/>
    </row>
    <row r="20" spans="1:8" x14ac:dyDescent="0.25">
      <c r="A20" s="6"/>
      <c r="B20" s="7"/>
      <c r="C20" s="7"/>
      <c r="D20" s="7"/>
      <c r="E20" s="7"/>
      <c r="F20" s="7"/>
      <c r="G20" s="7"/>
      <c r="H20" s="8"/>
    </row>
    <row r="21" spans="1:8" x14ac:dyDescent="0.25">
      <c r="A21" s="6" t="s">
        <v>22</v>
      </c>
      <c r="B21" s="7"/>
      <c r="C21" s="7"/>
      <c r="D21" s="7"/>
      <c r="E21" s="7"/>
      <c r="F21" s="7"/>
      <c r="G21" s="7"/>
      <c r="H21" s="8"/>
    </row>
    <row r="22" spans="1:8" x14ac:dyDescent="0.25">
      <c r="A22" s="6" t="s">
        <v>10</v>
      </c>
      <c r="B22" s="7" t="s">
        <v>2</v>
      </c>
      <c r="C22" s="2"/>
      <c r="D22" s="7"/>
      <c r="E22" s="7"/>
      <c r="F22" s="7"/>
      <c r="G22" s="7"/>
      <c r="H22" s="8"/>
    </row>
    <row r="23" spans="1:8" x14ac:dyDescent="0.25">
      <c r="A23" s="6"/>
      <c r="B23" s="7" t="s">
        <v>11</v>
      </c>
      <c r="C23" s="9">
        <v>40574</v>
      </c>
      <c r="D23" s="7"/>
      <c r="E23" s="7"/>
      <c r="F23" s="7"/>
      <c r="G23" s="7"/>
      <c r="H23" s="8"/>
    </row>
    <row r="24" spans="1:8" x14ac:dyDescent="0.25">
      <c r="A24" s="6"/>
      <c r="B24" s="7" t="s">
        <v>26</v>
      </c>
      <c r="C24" s="7"/>
      <c r="D24" s="7"/>
      <c r="E24" s="7"/>
      <c r="F24" s="7"/>
      <c r="G24" s="7"/>
      <c r="H24" s="8"/>
    </row>
    <row r="25" spans="1:8" x14ac:dyDescent="0.25">
      <c r="A25" s="6"/>
      <c r="B25" s="7" t="s">
        <v>27</v>
      </c>
      <c r="C25" s="7"/>
      <c r="D25" s="7"/>
      <c r="E25" s="7"/>
      <c r="F25" s="7"/>
      <c r="G25" s="7"/>
      <c r="H25" s="8"/>
    </row>
    <row r="26" spans="1:8" x14ac:dyDescent="0.25">
      <c r="A26" s="6"/>
      <c r="B26" s="7" t="s">
        <v>28</v>
      </c>
      <c r="C26" s="7"/>
      <c r="D26" s="7"/>
      <c r="E26" s="7"/>
      <c r="F26" s="7"/>
      <c r="G26" s="7"/>
      <c r="H26" s="8"/>
    </row>
    <row r="27" spans="1:8" x14ac:dyDescent="0.25">
      <c r="A27" s="6"/>
      <c r="B27" s="7"/>
      <c r="C27" s="7"/>
      <c r="D27" s="7"/>
      <c r="E27" s="7"/>
      <c r="F27" s="7"/>
      <c r="G27" s="7"/>
      <c r="H27" s="8"/>
    </row>
    <row r="28" spans="1:8" x14ac:dyDescent="0.25">
      <c r="A28" s="6"/>
      <c r="B28" s="7" t="s">
        <v>11</v>
      </c>
      <c r="C28" s="9">
        <v>40594</v>
      </c>
      <c r="D28" s="7"/>
      <c r="E28" s="7"/>
      <c r="F28" s="7"/>
      <c r="G28" s="7"/>
      <c r="H28" s="8"/>
    </row>
    <row r="29" spans="1:8" x14ac:dyDescent="0.25">
      <c r="A29" s="6"/>
      <c r="B29" s="7" t="s">
        <v>29</v>
      </c>
      <c r="C29" s="7"/>
      <c r="D29" s="7"/>
      <c r="E29" s="7"/>
      <c r="F29" s="7"/>
      <c r="G29" s="7"/>
      <c r="H29" s="8"/>
    </row>
    <row r="30" spans="1:8" x14ac:dyDescent="0.25">
      <c r="A30" s="6"/>
      <c r="B30" s="7" t="s">
        <v>30</v>
      </c>
      <c r="C30" s="7"/>
      <c r="D30" s="7"/>
      <c r="E30" s="7"/>
      <c r="F30" s="7"/>
      <c r="G30" s="7"/>
      <c r="H30" s="8"/>
    </row>
    <row r="31" spans="1:8" x14ac:dyDescent="0.25">
      <c r="A31" s="6"/>
      <c r="B31" s="7" t="s">
        <v>31</v>
      </c>
      <c r="C31" s="7"/>
      <c r="D31" s="7"/>
      <c r="E31" s="7"/>
      <c r="F31" s="7"/>
      <c r="G31" s="7"/>
      <c r="H31" s="8"/>
    </row>
    <row r="32" spans="1:8" x14ac:dyDescent="0.25">
      <c r="A32" s="6"/>
      <c r="B32" s="7"/>
      <c r="C32" s="7"/>
      <c r="D32" s="7"/>
      <c r="E32" s="7"/>
      <c r="F32" s="7"/>
      <c r="G32" s="7"/>
      <c r="H32" s="8"/>
    </row>
    <row r="33" spans="1:8" x14ac:dyDescent="0.25">
      <c r="A33" s="6"/>
      <c r="B33" s="7" t="s">
        <v>11</v>
      </c>
      <c r="C33" s="20">
        <v>40639</v>
      </c>
      <c r="D33" s="7"/>
      <c r="E33" s="7"/>
      <c r="F33" s="7"/>
      <c r="G33" s="7"/>
      <c r="H33" s="8"/>
    </row>
    <row r="34" spans="1:8" x14ac:dyDescent="0.25">
      <c r="A34" s="6"/>
      <c r="B34" s="7" t="s">
        <v>32</v>
      </c>
      <c r="C34" s="7"/>
      <c r="D34" s="7"/>
      <c r="E34" s="7"/>
      <c r="F34" s="7"/>
      <c r="G34" s="7"/>
      <c r="H34" s="8"/>
    </row>
    <row r="35" spans="1:8" x14ac:dyDescent="0.25">
      <c r="A35" s="6"/>
      <c r="B35" s="7" t="s">
        <v>33</v>
      </c>
      <c r="C35" s="7"/>
      <c r="D35" s="7"/>
      <c r="E35" s="7"/>
      <c r="F35" s="7"/>
      <c r="G35" s="7"/>
      <c r="H35" s="8"/>
    </row>
    <row r="36" spans="1:8" x14ac:dyDescent="0.25">
      <c r="A36" s="6"/>
      <c r="B36" s="7" t="s">
        <v>34</v>
      </c>
      <c r="C36" s="7"/>
      <c r="D36" s="7"/>
      <c r="E36" s="7"/>
      <c r="F36" s="7"/>
      <c r="G36" s="7"/>
      <c r="H36" s="8"/>
    </row>
    <row r="37" spans="1:8" x14ac:dyDescent="0.25">
      <c r="A37" s="14"/>
      <c r="B37" s="15"/>
      <c r="C37" s="15"/>
      <c r="D37" s="15"/>
      <c r="E37" s="15"/>
      <c r="F37" s="15"/>
      <c r="G37" s="15"/>
      <c r="H37" s="19"/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Q34"/>
  <sheetViews>
    <sheetView zoomScaleNormal="100" workbookViewId="0">
      <selection activeCell="I19" sqref="I19"/>
    </sheetView>
  </sheetViews>
  <sheetFormatPr defaultRowHeight="13.2" x14ac:dyDescent="0.25"/>
  <cols>
    <col min="2" max="2" width="10.109375" bestFit="1" customWidth="1"/>
    <col min="3" max="4" width="9.33203125" bestFit="1" customWidth="1"/>
    <col min="8" max="8" width="9.88671875" bestFit="1" customWidth="1"/>
    <col min="9" max="9" width="11.88671875" customWidth="1"/>
    <col min="10" max="10" width="13.33203125" customWidth="1"/>
  </cols>
  <sheetData>
    <row r="1" spans="1:10" x14ac:dyDescent="0.25">
      <c r="A1" s="22" t="s">
        <v>65</v>
      </c>
    </row>
    <row r="2" spans="1:10" x14ac:dyDescent="0.25">
      <c r="A2" s="22"/>
    </row>
    <row r="3" spans="1:10" x14ac:dyDescent="0.25">
      <c r="A3" s="30" t="s">
        <v>68</v>
      </c>
    </row>
    <row r="4" spans="1:10" x14ac:dyDescent="0.25">
      <c r="A4" s="22"/>
      <c r="I4" s="30" t="s">
        <v>83</v>
      </c>
    </row>
    <row r="7" spans="1:10" x14ac:dyDescent="0.25">
      <c r="I7" s="30" t="s">
        <v>73</v>
      </c>
      <c r="J7" s="33" t="s">
        <v>79</v>
      </c>
    </row>
    <row r="8" spans="1:10" x14ac:dyDescent="0.25">
      <c r="I8" s="30" t="s">
        <v>74</v>
      </c>
    </row>
    <row r="9" spans="1:10" x14ac:dyDescent="0.25">
      <c r="I9" s="30" t="s">
        <v>75</v>
      </c>
    </row>
    <row r="10" spans="1:10" x14ac:dyDescent="0.25">
      <c r="I10" s="30" t="s">
        <v>76</v>
      </c>
      <c r="J10" s="33" t="s">
        <v>80</v>
      </c>
    </row>
    <row r="11" spans="1:10" x14ac:dyDescent="0.25">
      <c r="I11" s="30" t="s">
        <v>82</v>
      </c>
      <c r="J11" s="33" t="s">
        <v>81</v>
      </c>
    </row>
    <row r="12" spans="1:10" x14ac:dyDescent="0.25">
      <c r="I12" s="30" t="s">
        <v>77</v>
      </c>
      <c r="J12" s="33" t="s">
        <v>78</v>
      </c>
    </row>
    <row r="15" spans="1:10" x14ac:dyDescent="0.25">
      <c r="I15" s="33" t="s">
        <v>72</v>
      </c>
    </row>
    <row r="19" spans="2:17" x14ac:dyDescent="0.25">
      <c r="Q19" s="27"/>
    </row>
    <row r="28" spans="2:17" x14ac:dyDescent="0.25">
      <c r="C28" t="s">
        <v>25</v>
      </c>
      <c r="D28" t="s">
        <v>55</v>
      </c>
      <c r="E28" t="s">
        <v>56</v>
      </c>
      <c r="F28" t="s">
        <v>57</v>
      </c>
      <c r="G28" t="s">
        <v>58</v>
      </c>
      <c r="H28" t="s">
        <v>59</v>
      </c>
      <c r="I28" t="s">
        <v>60</v>
      </c>
      <c r="J28" t="s">
        <v>61</v>
      </c>
      <c r="K28" t="s">
        <v>62</v>
      </c>
    </row>
    <row r="30" spans="2:17" x14ac:dyDescent="0.25">
      <c r="B30" s="31">
        <v>40543</v>
      </c>
      <c r="C30" s="32">
        <v>9</v>
      </c>
      <c r="D30" s="32">
        <v>-1000</v>
      </c>
      <c r="E30">
        <f>+D30+E29</f>
        <v>-1000</v>
      </c>
      <c r="F30">
        <f>E29</f>
        <v>0</v>
      </c>
      <c r="G30">
        <f>MIN(IF(E30&lt;=0,0,1),IF(F30&lt;0,0,1))</f>
        <v>0</v>
      </c>
      <c r="H30">
        <f>MAX(D30,0)*G30+(1-G30)*MIN(D30,0)</f>
        <v>-1000</v>
      </c>
      <c r="I30">
        <f>G30*MIN(D30,0)+(1-G30)*MAX(D30,0)</f>
        <v>0</v>
      </c>
      <c r="J30" s="29">
        <f>((F30+I30)/IF(F30=0,1,F30)*J29+H30*C30)</f>
        <v>-9000</v>
      </c>
      <c r="K30" s="29">
        <f>+J30/IF(E30=0,1,ABS(E30))</f>
        <v>-9</v>
      </c>
    </row>
    <row r="31" spans="2:17" x14ac:dyDescent="0.25">
      <c r="B31" s="31">
        <v>40548</v>
      </c>
      <c r="C31" s="32">
        <v>8.9</v>
      </c>
      <c r="D31" s="32">
        <v>500</v>
      </c>
      <c r="E31">
        <f>+D31+E30</f>
        <v>-500</v>
      </c>
      <c r="F31">
        <f>E30</f>
        <v>-1000</v>
      </c>
      <c r="G31">
        <f>MIN(IF(E31&lt;0,0,1),IF(F31&lt;0,0,1))</f>
        <v>0</v>
      </c>
      <c r="H31">
        <f>MAX(D31,0)*G31+(1-G31)*MIN(D31,0)</f>
        <v>0</v>
      </c>
      <c r="I31">
        <f>G31*MIN(D31,0)+(1-G31)*MAX(D31,0)</f>
        <v>500</v>
      </c>
      <c r="J31" s="29">
        <f>((F31+I31)/IF(F31=0,1,F31)*J30+H31*C31)</f>
        <v>-4500</v>
      </c>
      <c r="K31" s="29">
        <f>+J31/IF(E31=0,1,ABS(E31))</f>
        <v>-9</v>
      </c>
    </row>
    <row r="32" spans="2:17" x14ac:dyDescent="0.25">
      <c r="B32" s="31">
        <v>40663</v>
      </c>
      <c r="C32" s="32">
        <v>8.8000000000000007</v>
      </c>
      <c r="D32" s="32">
        <v>-250</v>
      </c>
      <c r="E32">
        <f>+D32+E31</f>
        <v>-750</v>
      </c>
      <c r="F32">
        <f>E31</f>
        <v>-500</v>
      </c>
      <c r="G32">
        <f>MIN(IF(E32&lt;0,0,1),IF(F32&lt;0,0,1))</f>
        <v>0</v>
      </c>
      <c r="H32">
        <f>MAX(D32,0)*G32+(1-G32)*MIN(D32,0)</f>
        <v>-250</v>
      </c>
      <c r="I32">
        <f>G32*MIN(D32,0)+(1-G32)*MAX(D32,0)</f>
        <v>0</v>
      </c>
      <c r="J32" s="29">
        <f>((F32+I32)/IF(F32=0,1,F32)*J31+H32*C32)</f>
        <v>-6700</v>
      </c>
      <c r="K32" s="29">
        <f>+J32/IF(E32=0,1,ABS(E32))</f>
        <v>-8.9333333333333336</v>
      </c>
    </row>
    <row r="33" spans="2:11" x14ac:dyDescent="0.25">
      <c r="B33" s="31">
        <v>40669</v>
      </c>
      <c r="C33" s="32">
        <v>9.5</v>
      </c>
      <c r="D33" s="32">
        <v>750</v>
      </c>
      <c r="E33">
        <f>+D33+E32</f>
        <v>0</v>
      </c>
      <c r="F33">
        <f>E32</f>
        <v>-750</v>
      </c>
      <c r="G33">
        <f>MIN(IF(E33&lt;0,0,1),IF(F33&lt;0,0,1))</f>
        <v>0</v>
      </c>
      <c r="H33">
        <f>MAX(D33,0)*G33+(1-G33)*MIN(D33,0)</f>
        <v>0</v>
      </c>
      <c r="I33">
        <f>G33*MIN(D33,0)+(1-G33)*MAX(D33,0)</f>
        <v>750</v>
      </c>
      <c r="J33" s="29">
        <f>((F33+I33)/IF(F33=0,1,F33)*J32+H33*C33)</f>
        <v>0</v>
      </c>
      <c r="K33" s="29">
        <f>+J33/IF(E33=0,1,ABS(E33))</f>
        <v>0</v>
      </c>
    </row>
    <row r="34" spans="2:11" x14ac:dyDescent="0.25">
      <c r="B34" s="31">
        <v>40694</v>
      </c>
      <c r="C34" s="32">
        <v>9.9</v>
      </c>
      <c r="D34" s="32">
        <v>-300</v>
      </c>
      <c r="E34">
        <f>+D34+E33</f>
        <v>-300</v>
      </c>
      <c r="F34">
        <f>E33</f>
        <v>0</v>
      </c>
      <c r="G34">
        <f>MIN(IF(E34&lt;0,0,1),IF(F34&lt;0,0,1))</f>
        <v>0</v>
      </c>
      <c r="H34">
        <f>MAX(D34,0)*G34+(1-G34)*MIN(D34,0)</f>
        <v>-300</v>
      </c>
      <c r="I34">
        <f>G34*MIN(D34,0)+(1-G34)*MAX(D34,0)</f>
        <v>0</v>
      </c>
      <c r="J34" s="29">
        <f>((F34+I34)/IF(F34=0,1,F34)*J33+H34*C34)</f>
        <v>-2970</v>
      </c>
      <c r="K34" s="29">
        <f>+J34/IF(E34=0,1,ABS(E34))</f>
        <v>-9.9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3073" r:id="rId4">
          <objectPr defaultSize="0" autoPict="0" r:id="rId5">
            <anchor moveWithCells="1">
              <from>
                <xdr:col>0</xdr:col>
                <xdr:colOff>327660</xdr:colOff>
                <xdr:row>3</xdr:row>
                <xdr:rowOff>38100</xdr:rowOff>
              </from>
              <to>
                <xdr:col>7</xdr:col>
                <xdr:colOff>365760</xdr:colOff>
                <xdr:row>24</xdr:row>
                <xdr:rowOff>99060</xdr:rowOff>
              </to>
            </anchor>
          </objectPr>
        </oleObject>
      </mc:Choice>
      <mc:Fallback>
        <oleObject progId="Equation.3" shapeId="307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/>
  <dimension ref="A1:G24"/>
  <sheetViews>
    <sheetView workbookViewId="0">
      <selection sqref="A1:J4"/>
    </sheetView>
  </sheetViews>
  <sheetFormatPr defaultRowHeight="13.2" x14ac:dyDescent="0.25"/>
  <cols>
    <col min="1" max="1" width="15.5546875" customWidth="1"/>
    <col min="2" max="2" width="6.44140625" bestFit="1" customWidth="1"/>
    <col min="3" max="3" width="13.44140625" bestFit="1" customWidth="1"/>
    <col min="4" max="4" width="14.6640625" bestFit="1" customWidth="1"/>
    <col min="5" max="5" width="8" bestFit="1" customWidth="1"/>
    <col min="6" max="6" width="8.33203125" bestFit="1" customWidth="1"/>
    <col min="7" max="7" width="14.21875" bestFit="1" customWidth="1"/>
    <col min="8" max="8" width="12.77734375" customWidth="1"/>
  </cols>
  <sheetData>
    <row r="1" spans="1:7" x14ac:dyDescent="0.25">
      <c r="A1" s="37"/>
      <c r="B1" s="30"/>
      <c r="C1" s="30"/>
      <c r="D1" s="30"/>
      <c r="E1" s="30"/>
      <c r="F1" s="30"/>
      <c r="G1" s="30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289D-1737-46DA-8586-672F2D5FEA76}">
  <sheetPr codeName="工作表7"/>
  <dimension ref="A1:D24"/>
  <sheetViews>
    <sheetView workbookViewId="0">
      <selection sqref="A1:D26"/>
    </sheetView>
  </sheetViews>
  <sheetFormatPr defaultRowHeight="13.2" x14ac:dyDescent="0.25"/>
  <cols>
    <col min="1" max="1" width="10.6640625" bestFit="1" customWidth="1"/>
  </cols>
  <sheetData>
    <row r="1" spans="1:4" x14ac:dyDescent="0.25">
      <c r="A1" t="s">
        <v>1</v>
      </c>
      <c r="B1" t="s">
        <v>0</v>
      </c>
      <c r="C1" t="s">
        <v>9</v>
      </c>
      <c r="D1" t="s">
        <v>25</v>
      </c>
    </row>
    <row r="2" spans="1:4" x14ac:dyDescent="0.25">
      <c r="A2" s="1">
        <v>40543</v>
      </c>
      <c r="B2" t="s">
        <v>2</v>
      </c>
      <c r="C2">
        <v>1000</v>
      </c>
      <c r="D2">
        <v>10</v>
      </c>
    </row>
    <row r="3" spans="1:4" x14ac:dyDescent="0.25">
      <c r="A3" s="1">
        <v>40543</v>
      </c>
      <c r="B3" t="s">
        <v>3</v>
      </c>
      <c r="C3">
        <v>-1000</v>
      </c>
      <c r="D3">
        <v>9</v>
      </c>
    </row>
    <row r="4" spans="1:4" x14ac:dyDescent="0.25">
      <c r="A4" s="1">
        <v>40543</v>
      </c>
      <c r="B4" t="s">
        <v>4</v>
      </c>
      <c r="C4">
        <v>1000</v>
      </c>
      <c r="D4">
        <v>10</v>
      </c>
    </row>
    <row r="5" spans="1:4" x14ac:dyDescent="0.25">
      <c r="A5" s="1">
        <v>40543</v>
      </c>
      <c r="B5" t="s">
        <v>5</v>
      </c>
      <c r="C5">
        <v>3000</v>
      </c>
      <c r="D5">
        <v>6</v>
      </c>
    </row>
    <row r="6" spans="1:4" x14ac:dyDescent="0.25">
      <c r="A6" s="1">
        <v>40546</v>
      </c>
      <c r="B6" t="s">
        <v>2</v>
      </c>
      <c r="C6">
        <v>-200</v>
      </c>
      <c r="D6">
        <v>11</v>
      </c>
    </row>
    <row r="7" spans="1:4" x14ac:dyDescent="0.25">
      <c r="A7" s="1">
        <v>40548</v>
      </c>
      <c r="B7" t="s">
        <v>3</v>
      </c>
      <c r="C7">
        <v>500</v>
      </c>
      <c r="D7">
        <v>8.9</v>
      </c>
    </row>
    <row r="8" spans="1:4" x14ac:dyDescent="0.25">
      <c r="A8" s="1">
        <v>40562</v>
      </c>
      <c r="B8" t="s">
        <v>4</v>
      </c>
      <c r="C8">
        <v>1000</v>
      </c>
      <c r="D8">
        <v>9.75</v>
      </c>
    </row>
    <row r="9" spans="1:4" x14ac:dyDescent="0.25">
      <c r="A9" s="1">
        <v>40571</v>
      </c>
      <c r="B9" t="s">
        <v>5</v>
      </c>
      <c r="C9">
        <v>5000</v>
      </c>
      <c r="D9">
        <v>5.9</v>
      </c>
    </row>
    <row r="10" spans="1:4" x14ac:dyDescent="0.25">
      <c r="A10" s="1">
        <v>40594</v>
      </c>
      <c r="B10" t="s">
        <v>2</v>
      </c>
      <c r="C10">
        <v>300</v>
      </c>
      <c r="D10">
        <v>9.8000000000000007</v>
      </c>
    </row>
    <row r="11" spans="1:4" x14ac:dyDescent="0.25">
      <c r="A11" s="1">
        <v>40605</v>
      </c>
      <c r="B11" t="s">
        <v>4</v>
      </c>
      <c r="C11">
        <v>1000</v>
      </c>
      <c r="D11">
        <v>9.5</v>
      </c>
    </row>
    <row r="12" spans="1:4" x14ac:dyDescent="0.25">
      <c r="A12" s="1">
        <v>40617</v>
      </c>
      <c r="B12" t="s">
        <v>5</v>
      </c>
      <c r="C12">
        <v>1000</v>
      </c>
      <c r="D12">
        <v>5.8</v>
      </c>
    </row>
    <row r="13" spans="1:4" x14ac:dyDescent="0.25">
      <c r="A13" s="1">
        <v>40639</v>
      </c>
      <c r="B13" t="s">
        <v>2</v>
      </c>
      <c r="C13">
        <v>-400</v>
      </c>
      <c r="D13">
        <v>10.5</v>
      </c>
    </row>
    <row r="14" spans="1:4" x14ac:dyDescent="0.25">
      <c r="A14" s="1">
        <v>40641</v>
      </c>
      <c r="B14" t="s">
        <v>4</v>
      </c>
      <c r="C14">
        <v>-1000</v>
      </c>
      <c r="D14">
        <v>9.9</v>
      </c>
    </row>
    <row r="15" spans="1:4" x14ac:dyDescent="0.25">
      <c r="A15" s="1">
        <v>40643</v>
      </c>
      <c r="B15" t="s">
        <v>5</v>
      </c>
      <c r="C15">
        <v>-2000</v>
      </c>
      <c r="D15">
        <v>6.5</v>
      </c>
    </row>
    <row r="16" spans="1:4" x14ac:dyDescent="0.25">
      <c r="A16" s="1">
        <v>40663</v>
      </c>
      <c r="B16" t="s">
        <v>3</v>
      </c>
      <c r="C16">
        <v>-250</v>
      </c>
      <c r="D16">
        <v>8.8000000000000007</v>
      </c>
    </row>
    <row r="17" spans="1:4" x14ac:dyDescent="0.25">
      <c r="A17" s="1">
        <v>40668</v>
      </c>
      <c r="B17" t="s">
        <v>2</v>
      </c>
      <c r="C17">
        <v>500</v>
      </c>
      <c r="D17">
        <v>9.5</v>
      </c>
    </row>
    <row r="18" spans="1:4" x14ac:dyDescent="0.25">
      <c r="A18" s="1">
        <v>40669</v>
      </c>
      <c r="B18" t="s">
        <v>3</v>
      </c>
      <c r="C18">
        <v>750</v>
      </c>
      <c r="D18">
        <v>9.5</v>
      </c>
    </row>
    <row r="19" spans="1:4" x14ac:dyDescent="0.25">
      <c r="A19" s="1">
        <v>40681</v>
      </c>
      <c r="B19" t="s">
        <v>4</v>
      </c>
      <c r="C19">
        <v>-1000</v>
      </c>
      <c r="D19">
        <v>10</v>
      </c>
    </row>
    <row r="20" spans="1:4" x14ac:dyDescent="0.25">
      <c r="A20" s="1">
        <v>40683</v>
      </c>
      <c r="B20" t="s">
        <v>6</v>
      </c>
      <c r="C20">
        <v>1000</v>
      </c>
      <c r="D20">
        <v>5.5</v>
      </c>
    </row>
    <row r="21" spans="1:4" x14ac:dyDescent="0.25">
      <c r="A21" s="1">
        <v>40694</v>
      </c>
      <c r="B21" t="s">
        <v>3</v>
      </c>
      <c r="C21">
        <v>-300</v>
      </c>
      <c r="D21">
        <v>9.9</v>
      </c>
    </row>
    <row r="22" spans="1:4" x14ac:dyDescent="0.25">
      <c r="A22" s="1">
        <v>40695</v>
      </c>
      <c r="B22" t="s">
        <v>7</v>
      </c>
      <c r="C22">
        <v>2000</v>
      </c>
      <c r="D22">
        <v>10</v>
      </c>
    </row>
    <row r="23" spans="1:4" x14ac:dyDescent="0.25">
      <c r="A23" s="1">
        <v>40722</v>
      </c>
      <c r="B23" t="s">
        <v>7</v>
      </c>
      <c r="C23">
        <v>300</v>
      </c>
      <c r="D23">
        <v>9.4</v>
      </c>
    </row>
    <row r="24" spans="1:4" x14ac:dyDescent="0.25">
      <c r="A24" s="1">
        <v>40724</v>
      </c>
      <c r="B24" t="s">
        <v>5</v>
      </c>
      <c r="C24">
        <v>-7000</v>
      </c>
      <c r="D24">
        <v>6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pageSetUpPr fitToPage="1"/>
  </sheetPr>
  <dimension ref="A1:D22"/>
  <sheetViews>
    <sheetView workbookViewId="0">
      <selection activeCell="C21" sqref="C21"/>
    </sheetView>
  </sheetViews>
  <sheetFormatPr defaultRowHeight="13.2" x14ac:dyDescent="0.25"/>
  <cols>
    <col min="3" max="3" width="13.44140625" customWidth="1"/>
    <col min="4" max="4" width="13.109375" customWidth="1"/>
  </cols>
  <sheetData>
    <row r="1" spans="1:4" x14ac:dyDescent="0.25">
      <c r="A1" s="24" t="str">
        <f ca="1">CELL("filename")</f>
        <v>C:\CV\a\jijis_ASM Data Analysis internship - 17-5-2022\VBA test\[Stock Cost Remained Calculator.xlsm]Save Table</v>
      </c>
    </row>
    <row r="2" spans="1:4" x14ac:dyDescent="0.25">
      <c r="A2" s="22" t="s">
        <v>51</v>
      </c>
    </row>
    <row r="4" spans="1:4" x14ac:dyDescent="0.25">
      <c r="A4" s="38" t="s">
        <v>88</v>
      </c>
      <c r="B4" s="22" t="s">
        <v>0</v>
      </c>
      <c r="C4" s="34">
        <v>40633</v>
      </c>
      <c r="D4" s="34">
        <v>40724</v>
      </c>
    </row>
    <row r="5" spans="1:4" x14ac:dyDescent="0.25">
      <c r="B5" t="s">
        <v>2</v>
      </c>
      <c r="C5" s="36">
        <v>10940</v>
      </c>
      <c r="D5" s="36">
        <v>11711.82</v>
      </c>
    </row>
    <row r="6" spans="1:4" x14ac:dyDescent="0.25">
      <c r="B6" t="s">
        <v>3</v>
      </c>
      <c r="C6" s="36">
        <v>-4500</v>
      </c>
      <c r="D6" s="36">
        <v>-2970</v>
      </c>
    </row>
    <row r="7" spans="1:4" x14ac:dyDescent="0.25">
      <c r="B7" t="s">
        <v>4</v>
      </c>
      <c r="C7" s="36">
        <v>29250</v>
      </c>
      <c r="D7" s="36">
        <v>9750</v>
      </c>
    </row>
    <row r="8" spans="1:4" x14ac:dyDescent="0.25">
      <c r="B8" t="s">
        <v>5</v>
      </c>
      <c r="C8" s="36">
        <v>53300</v>
      </c>
      <c r="D8">
        <v>0</v>
      </c>
    </row>
    <row r="9" spans="1:4" x14ac:dyDescent="0.25">
      <c r="B9" t="s">
        <v>6</v>
      </c>
      <c r="C9">
        <v>0</v>
      </c>
      <c r="D9" s="36">
        <v>5500</v>
      </c>
    </row>
    <row r="10" spans="1:4" x14ac:dyDescent="0.25">
      <c r="B10" t="s">
        <v>7</v>
      </c>
      <c r="C10">
        <v>0</v>
      </c>
      <c r="D10" s="36">
        <v>22820</v>
      </c>
    </row>
    <row r="15" spans="1:4" x14ac:dyDescent="0.25">
      <c r="C15" s="38" t="s">
        <v>87</v>
      </c>
    </row>
    <row r="16" spans="1:4" x14ac:dyDescent="0.25">
      <c r="A16" s="38" t="s">
        <v>86</v>
      </c>
      <c r="B16" s="22" t="s">
        <v>0</v>
      </c>
      <c r="C16" s="34">
        <v>40633</v>
      </c>
      <c r="D16" s="34">
        <v>40724</v>
      </c>
    </row>
    <row r="17" spans="2:4" x14ac:dyDescent="0.25">
      <c r="B17" t="s">
        <v>2</v>
      </c>
      <c r="C17" s="36">
        <v>1413.4366925064598</v>
      </c>
      <c r="D17" s="36">
        <v>1511.2025806451613</v>
      </c>
    </row>
    <row r="18" spans="2:4" x14ac:dyDescent="0.25">
      <c r="B18" t="s">
        <v>3</v>
      </c>
      <c r="C18" s="36">
        <v>-581.39534883720933</v>
      </c>
      <c r="D18" s="36">
        <v>-383.22580645161293</v>
      </c>
    </row>
    <row r="19" spans="2:4" x14ac:dyDescent="0.25">
      <c r="B19" t="s">
        <v>4</v>
      </c>
      <c r="C19" s="36">
        <v>29250</v>
      </c>
      <c r="D19" s="36">
        <v>9750</v>
      </c>
    </row>
    <row r="20" spans="2:4" x14ac:dyDescent="0.25">
      <c r="B20" t="s">
        <v>5</v>
      </c>
      <c r="C20" s="36">
        <v>53300</v>
      </c>
      <c r="D20">
        <v>0</v>
      </c>
    </row>
    <row r="21" spans="2:4" x14ac:dyDescent="0.25">
      <c r="B21" t="s">
        <v>6</v>
      </c>
      <c r="C21">
        <v>0</v>
      </c>
      <c r="D21" s="36">
        <v>4545.454545454546</v>
      </c>
    </row>
    <row r="22" spans="2:4" x14ac:dyDescent="0.25">
      <c r="B22" t="s">
        <v>7</v>
      </c>
      <c r="C22">
        <v>0</v>
      </c>
      <c r="D22" s="36">
        <v>18859.504132231406</v>
      </c>
    </row>
  </sheetData>
  <phoneticPr fontId="2" type="noConversion"/>
  <pageMargins left="0.75" right="0.75" top="1" bottom="1" header="0.5" footer="0.5"/>
  <pageSetup scale="7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_cal">
                <anchor moveWithCells="1" sizeWithCells="1">
                  <from>
                    <xdr:col>5</xdr:col>
                    <xdr:colOff>251460</xdr:colOff>
                    <xdr:row>6</xdr:row>
                    <xdr:rowOff>91440</xdr:rowOff>
                  </from>
                  <to>
                    <xdr:col>7</xdr:col>
                    <xdr:colOff>563880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工作表4.Create_OutputTable">
                <anchor moveWithCells="1" sizeWithCells="1">
                  <from>
                    <xdr:col>5</xdr:col>
                    <xdr:colOff>266700</xdr:colOff>
                    <xdr:row>3</xdr:row>
                    <xdr:rowOff>91440</xdr:rowOff>
                  </from>
                  <to>
                    <xdr:col>7</xdr:col>
                    <xdr:colOff>579120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工作表4.Clear_OutputTable">
                <anchor moveWithCells="1" sizeWithCells="1">
                  <from>
                    <xdr:col>5</xdr:col>
                    <xdr:colOff>243840</xdr:colOff>
                    <xdr:row>15</xdr:row>
                    <xdr:rowOff>83820</xdr:rowOff>
                  </from>
                  <to>
                    <xdr:col>7</xdr:col>
                    <xdr:colOff>556260</xdr:colOff>
                    <xdr:row>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USD_Value_table">
                <anchor moveWithCells="1" sizeWithCells="1">
                  <from>
                    <xdr:col>5</xdr:col>
                    <xdr:colOff>251460</xdr:colOff>
                    <xdr:row>9</xdr:row>
                    <xdr:rowOff>121920</xdr:rowOff>
                  </from>
                  <to>
                    <xdr:col>7</xdr:col>
                    <xdr:colOff>563880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Button 7">
              <controlPr defaultSize="0" print="0" autoFill="0" autoPict="0" macro="[0]!工作表4.save_table">
                <anchor moveWithCells="1" sizeWithCells="1">
                  <from>
                    <xdr:col>5</xdr:col>
                    <xdr:colOff>243840</xdr:colOff>
                    <xdr:row>12</xdr:row>
                    <xdr:rowOff>121920</xdr:rowOff>
                  </from>
                  <to>
                    <xdr:col>7</xdr:col>
                    <xdr:colOff>556260</xdr:colOff>
                    <xdr:row>15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4591F-A595-4F9E-B93B-9FB23CDEEFFE}">
  <sheetPr codeName="工作表8"/>
  <dimension ref="A1:G10"/>
  <sheetViews>
    <sheetView tabSelected="1" workbookViewId="0">
      <selection activeCell="J4" sqref="J4"/>
    </sheetView>
  </sheetViews>
  <sheetFormatPr defaultRowHeight="13.2" x14ac:dyDescent="0.25"/>
  <sheetData>
    <row r="1" spans="1:7" x14ac:dyDescent="0.25">
      <c r="A1" s="37"/>
    </row>
    <row r="3" spans="1:7" x14ac:dyDescent="0.25">
      <c r="B3" s="38" t="s">
        <v>89</v>
      </c>
      <c r="F3" s="38" t="s">
        <v>87</v>
      </c>
    </row>
    <row r="4" spans="1:7" x14ac:dyDescent="0.25">
      <c r="A4" s="22" t="s">
        <v>0</v>
      </c>
      <c r="B4" s="34">
        <v>40633</v>
      </c>
      <c r="C4" s="34">
        <v>40724</v>
      </c>
      <c r="E4" s="22" t="s">
        <v>0</v>
      </c>
      <c r="F4" s="34">
        <v>40633</v>
      </c>
      <c r="G4" s="34">
        <v>40724</v>
      </c>
    </row>
    <row r="5" spans="1:7" x14ac:dyDescent="0.25">
      <c r="A5" t="s">
        <v>2</v>
      </c>
      <c r="B5" s="36">
        <v>10940</v>
      </c>
      <c r="C5" s="36">
        <v>11711.82</v>
      </c>
      <c r="E5" t="s">
        <v>2</v>
      </c>
      <c r="F5" s="36">
        <v>1413.44</v>
      </c>
      <c r="G5" s="36">
        <v>1511.2</v>
      </c>
    </row>
    <row r="6" spans="1:7" x14ac:dyDescent="0.25">
      <c r="A6" t="s">
        <v>3</v>
      </c>
      <c r="B6" s="36">
        <v>-4500</v>
      </c>
      <c r="C6" s="36">
        <v>-2970</v>
      </c>
      <c r="E6" t="s">
        <v>3</v>
      </c>
      <c r="F6">
        <v>-581.4</v>
      </c>
      <c r="G6">
        <v>-383.23</v>
      </c>
    </row>
    <row r="7" spans="1:7" x14ac:dyDescent="0.25">
      <c r="A7" t="s">
        <v>4</v>
      </c>
      <c r="B7" s="36">
        <v>29250</v>
      </c>
      <c r="C7" s="36">
        <v>9750</v>
      </c>
      <c r="E7" t="s">
        <v>4</v>
      </c>
      <c r="F7" s="36">
        <v>29250</v>
      </c>
      <c r="G7" s="36">
        <v>9750</v>
      </c>
    </row>
    <row r="8" spans="1:7" x14ac:dyDescent="0.25">
      <c r="A8" t="s">
        <v>5</v>
      </c>
      <c r="B8" s="36">
        <v>53300</v>
      </c>
      <c r="C8">
        <v>0</v>
      </c>
      <c r="E8" t="s">
        <v>5</v>
      </c>
      <c r="F8" s="36">
        <v>53300</v>
      </c>
      <c r="G8">
        <v>0</v>
      </c>
    </row>
    <row r="9" spans="1:7" x14ac:dyDescent="0.25">
      <c r="A9" t="s">
        <v>6</v>
      </c>
      <c r="B9">
        <v>0</v>
      </c>
      <c r="C9" s="36">
        <v>5500</v>
      </c>
      <c r="E9" t="s">
        <v>6</v>
      </c>
      <c r="F9">
        <v>0</v>
      </c>
      <c r="G9" s="36">
        <v>4545.45</v>
      </c>
    </row>
    <row r="10" spans="1:7" x14ac:dyDescent="0.25">
      <c r="A10" t="s">
        <v>7</v>
      </c>
      <c r="B10">
        <v>0</v>
      </c>
      <c r="C10" s="36">
        <v>22820</v>
      </c>
      <c r="E10" t="s">
        <v>7</v>
      </c>
      <c r="F10">
        <v>0</v>
      </c>
      <c r="G10" s="36">
        <v>18859.5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3:D16"/>
  <sheetViews>
    <sheetView workbookViewId="0">
      <selection activeCell="F10" sqref="F10"/>
    </sheetView>
  </sheetViews>
  <sheetFormatPr defaultRowHeight="13.2" x14ac:dyDescent="0.25"/>
  <cols>
    <col min="1" max="1" width="10.88671875" bestFit="1" customWidth="1"/>
    <col min="3" max="3" width="10.33203125" bestFit="1" customWidth="1"/>
    <col min="4" max="4" width="10.88671875" bestFit="1" customWidth="1"/>
  </cols>
  <sheetData>
    <row r="3" spans="1:4" x14ac:dyDescent="0.25">
      <c r="B3" t="s">
        <v>0</v>
      </c>
      <c r="C3" s="1">
        <v>40633</v>
      </c>
      <c r="D3" s="1">
        <v>40724</v>
      </c>
    </row>
    <row r="4" spans="1:4" x14ac:dyDescent="0.25">
      <c r="B4" t="s">
        <v>2</v>
      </c>
      <c r="C4" s="26">
        <v>10940</v>
      </c>
      <c r="D4" s="26">
        <v>11711.818181818182</v>
      </c>
    </row>
    <row r="5" spans="1:4" x14ac:dyDescent="0.25">
      <c r="B5" t="s">
        <v>3</v>
      </c>
      <c r="C5" s="26">
        <v>-4500</v>
      </c>
      <c r="D5" s="26">
        <v>-2970</v>
      </c>
    </row>
    <row r="6" spans="1:4" x14ac:dyDescent="0.25">
      <c r="B6" t="s">
        <v>4</v>
      </c>
      <c r="C6" s="26">
        <v>29250</v>
      </c>
      <c r="D6" s="26">
        <v>9750</v>
      </c>
    </row>
    <row r="7" spans="1:4" x14ac:dyDescent="0.25">
      <c r="B7" t="s">
        <v>5</v>
      </c>
      <c r="C7" s="26">
        <v>53300</v>
      </c>
      <c r="D7" s="26">
        <v>0</v>
      </c>
    </row>
    <row r="8" spans="1:4" x14ac:dyDescent="0.25">
      <c r="B8" t="s">
        <v>6</v>
      </c>
      <c r="C8" s="26">
        <v>0</v>
      </c>
      <c r="D8" s="26">
        <v>5500</v>
      </c>
    </row>
    <row r="9" spans="1:4" x14ac:dyDescent="0.25">
      <c r="B9" t="s">
        <v>7</v>
      </c>
      <c r="C9" s="26">
        <v>0</v>
      </c>
      <c r="D9" s="26">
        <v>22820</v>
      </c>
    </row>
    <row r="11" spans="1:4" x14ac:dyDescent="0.25">
      <c r="A11" s="25"/>
    </row>
    <row r="12" spans="1:4" x14ac:dyDescent="0.25">
      <c r="A12" s="27"/>
    </row>
    <row r="16" spans="1:4" x14ac:dyDescent="0.25">
      <c r="A16" s="28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Task_Data</vt:lpstr>
      <vt:lpstr>Example_Numerical</vt:lpstr>
      <vt:lpstr>Example_Formula</vt:lpstr>
      <vt:lpstr>Cost Remained Calculator</vt:lpstr>
      <vt:lpstr>DataTable</vt:lpstr>
      <vt:lpstr>Output</vt:lpstr>
      <vt:lpstr>Save Table</vt:lpstr>
      <vt:lpstr>Numerical Answer for B</vt:lpstr>
    </vt:vector>
  </TitlesOfParts>
  <Company>ASM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Ngai Oi Lam,Venus</dc:creator>
  <cp:lastModifiedBy>Venus</cp:lastModifiedBy>
  <cp:lastPrinted>2011-09-11T13:31:55Z</cp:lastPrinted>
  <dcterms:created xsi:type="dcterms:W3CDTF">2011-04-09T05:03:55Z</dcterms:created>
  <dcterms:modified xsi:type="dcterms:W3CDTF">2022-05-23T16:04:52Z</dcterms:modified>
</cp:coreProperties>
</file>